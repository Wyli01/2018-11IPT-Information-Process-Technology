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yli01\Desktop\Year 11\Information Process Technology\Notes\"/>
    </mc:Choice>
  </mc:AlternateContent>
  <workbookProtection lockStructure="1"/>
  <bookViews>
    <workbookView xWindow="0" yWindow="0" windowWidth="1343" windowHeight="5903" activeTab="1"/>
  </bookViews>
  <sheets>
    <sheet name="Main Menu" sheetId="1" r:id="rId1"/>
    <sheet name="Input" sheetId="2" r:id="rId2"/>
    <sheet name="DataStore" sheetId="3" r:id="rId3"/>
    <sheet name="Lookup" sheetId="4" r:id="rId4"/>
  </sheets>
  <definedNames>
    <definedName name="A_err">Input!$D$11</definedName>
    <definedName name="Address">Input!$B$11</definedName>
    <definedName name="Age">Input!$B$21</definedName>
    <definedName name="age_Table">Lookup!$G$7:$H$10</definedName>
    <definedName name="ageErrorMsg">Input!$D$21</definedName>
    <definedName name="Base_Premium">Input!$G$18</definedName>
    <definedName name="dateOfBirth">Input!$B$19</definedName>
    <definedName name="dobErrorMsg">Input!$D$19</definedName>
    <definedName name="E_err">Input!$D$17</definedName>
    <definedName name="Email">Input!$B$17</definedName>
    <definedName name="F">Input!$B$23</definedName>
    <definedName name="F_err">Input!$D$23</definedName>
    <definedName name="Factor">Lookup!$H$7:$H$10</definedName>
    <definedName name="First_Name">Input!$B$7</definedName>
    <definedName name="FN_err">Input!$D$7</definedName>
    <definedName name="genderLU">Lookup!$D$6:$D$8</definedName>
    <definedName name="genderTable">Lookup!$D$6:$E$8</definedName>
    <definedName name="Last_Name">Input!$B$9</definedName>
    <definedName name="LN_err">Input!$D$9</definedName>
    <definedName name="max_age">Lookup!$G$10</definedName>
    <definedName name="min_age">Lookup!$G$7</definedName>
    <definedName name="P_err">Input!$D$15</definedName>
    <definedName name="Postcode">Input!$B$15</definedName>
    <definedName name="T_err">Input!$D$13</definedName>
    <definedName name="Town_City">Input!$B$13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" i="2" l="1"/>
  <c r="L19" i="2"/>
  <c r="K25" i="2"/>
  <c r="L25" i="2" s="1"/>
  <c r="M25" i="2" l="1"/>
  <c r="K24" i="2"/>
  <c r="M24" i="2" s="1"/>
  <c r="M26" i="2" l="1"/>
  <c r="M27" i="2" s="1"/>
  <c r="N24" i="2"/>
  <c r="N25" i="2"/>
  <c r="L24" i="2"/>
  <c r="L26" i="2" s="1"/>
  <c r="G16" i="2"/>
  <c r="B3" i="4"/>
  <c r="N26" i="2" l="1"/>
  <c r="N27" i="2"/>
  <c r="O27" i="2" s="1"/>
  <c r="B21" i="2" s="1"/>
  <c r="L20" i="2" l="1"/>
  <c r="K20" i="2" l="1"/>
  <c r="G18" i="2" s="1"/>
</calcChain>
</file>

<file path=xl/sharedStrings.xml><?xml version="1.0" encoding="utf-8"?>
<sst xmlns="http://schemas.openxmlformats.org/spreadsheetml/2006/main" count="53" uniqueCount="46">
  <si>
    <t>Main Menu</t>
  </si>
  <si>
    <t>Address</t>
  </si>
  <si>
    <t>Town</t>
  </si>
  <si>
    <t>Email</t>
  </si>
  <si>
    <t>Insert Information</t>
  </si>
  <si>
    <t>Address:</t>
  </si>
  <si>
    <t>Postcode:</t>
  </si>
  <si>
    <t>Email:</t>
  </si>
  <si>
    <t>D.O.B:</t>
  </si>
  <si>
    <t>Gender:</t>
  </si>
  <si>
    <t>Gender</t>
  </si>
  <si>
    <t>Last Name:</t>
  </si>
  <si>
    <t>First Name:</t>
  </si>
  <si>
    <t>Name Name</t>
  </si>
  <si>
    <t>Last Name</t>
  </si>
  <si>
    <t>PostCode</t>
  </si>
  <si>
    <t>DOB</t>
  </si>
  <si>
    <t>Age</t>
  </si>
  <si>
    <t>Other</t>
  </si>
  <si>
    <t>Quote#</t>
  </si>
  <si>
    <t>Next Quote#</t>
  </si>
  <si>
    <t>CurrentQuote#</t>
  </si>
  <si>
    <t>Life Insurance Scheme</t>
  </si>
  <si>
    <t>Base Premium</t>
  </si>
  <si>
    <t>Amount</t>
  </si>
  <si>
    <t>Factor</t>
  </si>
  <si>
    <t>Base Premium#</t>
  </si>
  <si>
    <t>M</t>
  </si>
  <si>
    <t>F</t>
  </si>
  <si>
    <t>User No.</t>
  </si>
  <si>
    <t>Ethnicity</t>
  </si>
  <si>
    <t>Age Calc</t>
  </si>
  <si>
    <t>today</t>
  </si>
  <si>
    <t>Month</t>
  </si>
  <si>
    <t>Day</t>
  </si>
  <si>
    <t xml:space="preserve">Year </t>
  </si>
  <si>
    <t>Age=</t>
  </si>
  <si>
    <t>Range</t>
  </si>
  <si>
    <t>Jeff</t>
  </si>
  <si>
    <t>Waters</t>
  </si>
  <si>
    <t>Town/City:</t>
  </si>
  <si>
    <t>Sydney</t>
  </si>
  <si>
    <t>Premium Price</t>
  </si>
  <si>
    <t>Age:</t>
  </si>
  <si>
    <t>123 help St</t>
  </si>
  <si>
    <t>Potato@gmail.com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</si>
</sst>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-[$$-C09]* #,##0.00_-;\-[$$-C09]* #,##0.00_-;_-[$$-C09]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4"/>
      <color theme="9"/>
      <name val="Calibri"/>
      <family val="2"/>
      <scheme val="minor"/>
    </font>
    <font>
      <sz val="24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9"/>
      <name val="Calibri"/>
      <family val="2"/>
      <scheme val="minor"/>
    </font>
    <font>
      <b/>
      <sz val="20"/>
      <color theme="9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3"/>
        <bgColor indexed="64"/>
      </patternFill>
    </fill>
  </fills>
  <borders count="15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2" borderId="0" xfId="0" applyFill="1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Protection="1">
      <protection locked="0"/>
    </xf>
    <xf numFmtId="0" fontId="6" fillId="2" borderId="0" xfId="0" applyFont="1" applyFill="1"/>
    <xf numFmtId="1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4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5" borderId="8" xfId="0" applyFill="1" applyBorder="1"/>
    <xf numFmtId="0" fontId="0" fillId="5" borderId="12" xfId="0" applyFill="1" applyBorder="1"/>
    <xf numFmtId="0" fontId="0" fillId="5" borderId="2" xfId="0" applyFill="1" applyBorder="1"/>
    <xf numFmtId="0" fontId="0" fillId="5" borderId="3" xfId="0" applyFill="1" applyBorder="1"/>
    <xf numFmtId="14" fontId="2" fillId="2" borderId="0" xfId="0" applyNumberFormat="1" applyFont="1" applyFill="1" applyAlignment="1">
      <alignment horizontal="center" vertical="center"/>
    </xf>
    <xf numFmtId="14" fontId="0" fillId="2" borderId="0" xfId="0" applyNumberFormat="1" applyFill="1"/>
    <xf numFmtId="0" fontId="8" fillId="2" borderId="0" xfId="0" applyFont="1" applyFill="1" applyAlignment="1">
      <alignment horizontal="center"/>
    </xf>
    <xf numFmtId="14" fontId="8" fillId="2" borderId="0" xfId="0" applyNumberFormat="1" applyFont="1" applyFill="1" applyAlignment="1">
      <alignment horizontal="center"/>
    </xf>
    <xf numFmtId="0" fontId="4" fillId="2" borderId="0" xfId="1" applyFill="1" applyAlignment="1">
      <alignment horizontal="center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7" xfId="0" applyFill="1" applyBorder="1"/>
    <xf numFmtId="0" fontId="0" fillId="4" borderId="8" xfId="0" applyFill="1" applyBorder="1"/>
    <xf numFmtId="0" fontId="1" fillId="6" borderId="1" xfId="0" applyFont="1" applyFill="1" applyBorder="1" applyProtection="1">
      <protection locked="0"/>
    </xf>
    <xf numFmtId="0" fontId="5" fillId="6" borderId="1" xfId="1" applyFont="1" applyFill="1" applyBorder="1" applyProtection="1">
      <protection locked="0"/>
    </xf>
    <xf numFmtId="14" fontId="1" fillId="6" borderId="1" xfId="0" applyNumberFormat="1" applyFont="1" applyFill="1" applyBorder="1" applyProtection="1">
      <protection locked="0"/>
    </xf>
    <xf numFmtId="0" fontId="4" fillId="6" borderId="1" xfId="1" applyFill="1" applyBorder="1" applyProtection="1">
      <protection locked="0"/>
    </xf>
    <xf numFmtId="0" fontId="1" fillId="2" borderId="13" xfId="0" applyFont="1" applyFill="1" applyBorder="1"/>
    <xf numFmtId="0" fontId="9" fillId="2" borderId="13" xfId="0" applyFont="1" applyFill="1" applyBorder="1"/>
    <xf numFmtId="164" fontId="11" fillId="3" borderId="14" xfId="2" applyNumberFormat="1" applyFont="1" applyFill="1" applyBorder="1"/>
    <xf numFmtId="0" fontId="1" fillId="6" borderId="1" xfId="0" quotePrefix="1" applyFont="1" applyFill="1" applyBorder="1" applyProtection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4763</xdr:colOff>
          <xdr:row>8</xdr:row>
          <xdr:rowOff>0</xdr:rowOff>
        </xdr:from>
        <xdr:to>
          <xdr:col>7</xdr:col>
          <xdr:colOff>1538288</xdr:colOff>
          <xdr:row>10</xdr:row>
          <xdr:rowOff>166688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500063</xdr:colOff>
          <xdr:row>11</xdr:row>
          <xdr:rowOff>119063</xdr:rowOff>
        </xdr:from>
        <xdr:to>
          <xdr:col>7</xdr:col>
          <xdr:colOff>295275</xdr:colOff>
          <xdr:row>13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814388</xdr:colOff>
          <xdr:row>26</xdr:row>
          <xdr:rowOff>47625</xdr:rowOff>
        </xdr:from>
        <xdr:to>
          <xdr:col>2</xdr:col>
          <xdr:colOff>4763</xdr:colOff>
          <xdr:row>28</xdr:row>
          <xdr:rowOff>76200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Potato@gmail.co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H5:H6"/>
  <sheetViews>
    <sheetView workbookViewId="0">
      <selection activeCell="H16" sqref="H16"/>
    </sheetView>
  </sheetViews>
  <sheetFormatPr defaultRowHeight="14.25" x14ac:dyDescent="0.45"/>
  <cols>
    <col min="1" max="7" width="9.06640625" style="4"/>
    <col min="8" max="8" width="21.59765625" style="4" customWidth="1"/>
    <col min="9" max="16384" width="9.06640625" style="4"/>
  </cols>
  <sheetData>
    <row r="5" spans="8:8" x14ac:dyDescent="0.45">
      <c r="H5" s="5" t="s">
        <v>22</v>
      </c>
    </row>
    <row r="6" spans="8:8" ht="30.75" x14ac:dyDescent="0.9">
      <c r="H6" s="3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put_btn">
                <anchor moveWithCells="1" sizeWithCells="1">
                  <from>
                    <xdr:col>7</xdr:col>
                    <xdr:colOff>4763</xdr:colOff>
                    <xdr:row>8</xdr:row>
                    <xdr:rowOff>0</xdr:rowOff>
                  </from>
                  <to>
                    <xdr:col>7</xdr:col>
                    <xdr:colOff>1538288</xdr:colOff>
                    <xdr:row>10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27"/>
  <sheetViews>
    <sheetView tabSelected="1" topLeftCell="A2" zoomScale="90" zoomScaleNormal="90" workbookViewId="0">
      <selection activeCell="D13" sqref="D13"/>
    </sheetView>
  </sheetViews>
  <sheetFormatPr defaultRowHeight="14.25" x14ac:dyDescent="0.45"/>
  <cols>
    <col min="1" max="1" width="11.6640625" style="1" customWidth="1"/>
    <col min="2" max="2" width="27.33203125" style="1" customWidth="1"/>
    <col min="3" max="3" width="2.265625" style="1" customWidth="1"/>
    <col min="4" max="4" width="55.73046875" style="1" customWidth="1"/>
    <col min="5" max="5" width="9.06640625" style="1"/>
    <col min="6" max="6" width="12.9296875" style="1" customWidth="1"/>
    <col min="7" max="8" width="9.06640625" style="1"/>
    <col min="9" max="9" width="12.86328125" style="1" customWidth="1"/>
    <col min="10" max="10" width="12.73046875" style="1" hidden="1" customWidth="1"/>
    <col min="11" max="11" width="10.19921875" style="1" hidden="1" customWidth="1"/>
    <col min="12" max="12" width="10.46484375" style="1" hidden="1" customWidth="1"/>
    <col min="13" max="15" width="9.06640625" style="1" hidden="1" customWidth="1"/>
    <col min="16" max="16" width="10.19921875" style="1" customWidth="1"/>
    <col min="17" max="17" width="16.3984375" style="1" customWidth="1"/>
    <col min="18" max="18" width="9.06640625" style="1"/>
    <col min="19" max="19" width="9" style="1" customWidth="1"/>
    <col min="20" max="16384" width="9.06640625" style="1"/>
  </cols>
  <sheetData>
    <row r="1" spans="1:12" ht="25.5" x14ac:dyDescent="0.75">
      <c r="B1" s="11"/>
    </row>
    <row r="2" spans="1:12" ht="16.899999999999999" customHeight="1" x14ac:dyDescent="0.75">
      <c r="B2" s="11"/>
    </row>
    <row r="3" spans="1:12" ht="16.899999999999999" customHeight="1" x14ac:dyDescent="0.75">
      <c r="B3" s="11"/>
    </row>
    <row r="4" spans="1:12" ht="14.65" hidden="1" customHeight="1" x14ac:dyDescent="0.75">
      <c r="B4" s="11"/>
    </row>
    <row r="5" spans="1:12" ht="34.9" customHeight="1" x14ac:dyDescent="0.75">
      <c r="B5" s="11" t="s">
        <v>4</v>
      </c>
    </row>
    <row r="7" spans="1:12" x14ac:dyDescent="0.45">
      <c r="A7" s="1" t="s">
        <v>12</v>
      </c>
      <c r="B7" s="38" t="s">
        <v>38</v>
      </c>
    </row>
    <row r="8" spans="1:12" x14ac:dyDescent="0.45">
      <c r="B8" s="10"/>
    </row>
    <row r="9" spans="1:12" x14ac:dyDescent="0.45">
      <c r="A9" s="1" t="s">
        <v>11</v>
      </c>
      <c r="B9" s="38" t="s">
        <v>39</v>
      </c>
    </row>
    <row r="11" spans="1:12" x14ac:dyDescent="0.45">
      <c r="A11" s="1" t="s">
        <v>5</v>
      </c>
      <c r="B11" s="39" t="s">
        <v>44</v>
      </c>
    </row>
    <row r="13" spans="1:12" x14ac:dyDescent="0.45">
      <c r="A13" s="1" t="s">
        <v>40</v>
      </c>
      <c r="B13" s="38" t="s">
        <v>41</v>
      </c>
    </row>
    <row r="15" spans="1:12" x14ac:dyDescent="0.45">
      <c r="A15" s="1" t="s">
        <v>6</v>
      </c>
      <c r="B15" s="38">
        <v>2087</v>
      </c>
    </row>
    <row r="16" spans="1:12" x14ac:dyDescent="0.45">
      <c r="F16" s="1" t="s">
        <v>19</v>
      </c>
      <c r="G16" s="1">
        <f>Lookup!B2</f>
        <v>19</v>
      </c>
      <c r="K16" s="1" t="s">
        <v>24</v>
      </c>
      <c r="L16" s="1" t="s">
        <v>25</v>
      </c>
    </row>
    <row r="17" spans="1:16" ht="14.65" thickBot="1" x14ac:dyDescent="0.5">
      <c r="A17" s="1" t="s">
        <v>7</v>
      </c>
      <c r="B17" s="41" t="s">
        <v>45</v>
      </c>
      <c r="J17" s="1" t="s">
        <v>23</v>
      </c>
      <c r="K17" s="1">
        <v>500</v>
      </c>
    </row>
    <row r="18" spans="1:16" ht="14.65" thickBot="1" x14ac:dyDescent="0.5">
      <c r="F18" s="1" t="s">
        <v>26</v>
      </c>
      <c r="G18" s="44">
        <f ca="1">K17+K19+K20</f>
        <v>595</v>
      </c>
    </row>
    <row r="19" spans="1:16" x14ac:dyDescent="0.45">
      <c r="A19" s="1" t="s">
        <v>8</v>
      </c>
      <c r="B19" s="40">
        <v>31930</v>
      </c>
      <c r="J19" s="1" t="s">
        <v>10</v>
      </c>
      <c r="K19" s="1">
        <f>K17*L19</f>
        <v>50</v>
      </c>
      <c r="L19" s="1">
        <f>VLOOKUP(F,genderTable,2,FALSE)</f>
        <v>0.1</v>
      </c>
      <c r="P19" s="12"/>
    </row>
    <row r="20" spans="1:16" x14ac:dyDescent="0.45">
      <c r="B20" s="10"/>
      <c r="J20" s="1" t="s">
        <v>17</v>
      </c>
      <c r="K20" s="12">
        <f ca="1">K17*L20</f>
        <v>45</v>
      </c>
      <c r="L20" s="1">
        <f ca="1">VLOOKUP(Age,age_Table,2,TRUE)</f>
        <v>0.09</v>
      </c>
      <c r="P20" s="12"/>
    </row>
    <row r="21" spans="1:16" x14ac:dyDescent="0.45">
      <c r="A21" s="1" t="s">
        <v>43</v>
      </c>
      <c r="B21" s="45">
        <f ca="1">IF(dateOfBirth="",0,O27)</f>
        <v>30</v>
      </c>
    </row>
    <row r="23" spans="1:16" x14ac:dyDescent="0.45">
      <c r="A23" s="1" t="s">
        <v>9</v>
      </c>
      <c r="B23" s="38" t="s">
        <v>27</v>
      </c>
      <c r="J23" s="1" t="s">
        <v>31</v>
      </c>
      <c r="L23" s="13" t="s">
        <v>35</v>
      </c>
      <c r="M23" s="13" t="s">
        <v>33</v>
      </c>
      <c r="N23" s="13" t="s">
        <v>34</v>
      </c>
      <c r="O23" s="13" t="s">
        <v>17</v>
      </c>
    </row>
    <row r="24" spans="1:16" x14ac:dyDescent="0.45">
      <c r="J24" s="1" t="s">
        <v>32</v>
      </c>
      <c r="K24" s="12">
        <f ca="1">TODAY()</f>
        <v>43244</v>
      </c>
      <c r="L24" s="1">
        <f ca="1">YEAR(K24)</f>
        <v>2018</v>
      </c>
      <c r="M24" s="1">
        <f ca="1">MONTH(K24)</f>
        <v>5</v>
      </c>
      <c r="N24" s="1">
        <f ca="1">DAY(K24)</f>
        <v>24</v>
      </c>
    </row>
    <row r="25" spans="1:16" x14ac:dyDescent="0.45">
      <c r="A25" s="42"/>
      <c r="B25" s="43"/>
      <c r="J25" s="1" t="s">
        <v>16</v>
      </c>
      <c r="K25" s="12">
        <f>dateOfBirth</f>
        <v>31930</v>
      </c>
      <c r="L25" s="1">
        <f>YEAR(K25)</f>
        <v>1987</v>
      </c>
      <c r="M25" s="1">
        <f>MONTH(K25)</f>
        <v>6</v>
      </c>
      <c r="N25" s="1">
        <f>DAY(K25)</f>
        <v>2</v>
      </c>
    </row>
    <row r="26" spans="1:16" x14ac:dyDescent="0.45">
      <c r="G26" s="12"/>
      <c r="L26" s="1">
        <f ca="1">L24-L25</f>
        <v>31</v>
      </c>
      <c r="M26" s="1">
        <f ca="1">M24-M25</f>
        <v>-1</v>
      </c>
      <c r="N26" s="1">
        <f ca="1">N24-N25</f>
        <v>22</v>
      </c>
    </row>
    <row r="27" spans="1:16" x14ac:dyDescent="0.45">
      <c r="G27" s="12"/>
      <c r="J27" s="1" t="s">
        <v>36</v>
      </c>
      <c r="M27" s="1">
        <f ca="1">IF(M26&lt;=0,-1,0)</f>
        <v>-1</v>
      </c>
      <c r="N27" s="1">
        <f ca="1">IF(M27=0,IF(N26&lt;0,-1,0),0)</f>
        <v>0</v>
      </c>
      <c r="O27" s="1">
        <f ca="1">L26+M27+N27</f>
        <v>30</v>
      </c>
    </row>
  </sheetData>
  <dataValidations count="1">
    <dataValidation type="list" allowBlank="1" showInputMessage="1" showErrorMessage="1" errorTitle="Error" error="Not a Valid Gender!" promptTitle="Gender" prompt="Please select what is relevant to you!" sqref="B23">
      <formula1>genderLU</formula1>
    </dataValidation>
  </dataValidations>
  <hyperlinks>
    <hyperlink ref="B17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5" name="Button 19">
              <controlPr defaultSize="0" print="0" autoFill="0" autoPict="0" macro="[0]!Macro9">
                <anchor moveWithCells="1" sizeWithCells="1">
                  <from>
                    <xdr:col>4</xdr:col>
                    <xdr:colOff>500063</xdr:colOff>
                    <xdr:row>11</xdr:row>
                    <xdr:rowOff>119063</xdr:rowOff>
                  </from>
                  <to>
                    <xdr:col>7</xdr:col>
                    <xdr:colOff>295275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Home_btn">
                <anchor moveWithCells="1" sizeWithCells="1">
                  <from>
                    <xdr:col>0</xdr:col>
                    <xdr:colOff>814388</xdr:colOff>
                    <xdr:row>26</xdr:row>
                    <xdr:rowOff>47625</xdr:rowOff>
                  </from>
                  <to>
                    <xdr:col>2</xdr:col>
                    <xdr:colOff>4763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1"/>
  <sheetViews>
    <sheetView workbookViewId="0">
      <selection activeCell="C18" sqref="C18"/>
    </sheetView>
  </sheetViews>
  <sheetFormatPr defaultRowHeight="14.25" x14ac:dyDescent="0.45"/>
  <cols>
    <col min="1" max="1" width="9.06640625" style="4"/>
    <col min="2" max="2" width="17.73046875" style="4" customWidth="1"/>
    <col min="3" max="3" width="20.53125" style="4" customWidth="1"/>
    <col min="4" max="4" width="31.46484375" style="4" customWidth="1"/>
    <col min="5" max="5" width="16.1328125" style="4" customWidth="1"/>
    <col min="6" max="6" width="11.33203125" style="4" customWidth="1"/>
    <col min="7" max="7" width="37.73046875" style="4" customWidth="1"/>
    <col min="8" max="8" width="12.9296875" style="4" bestFit="1" customWidth="1"/>
    <col min="9" max="10" width="9.06640625" style="4"/>
    <col min="11" max="11" width="21.1328125" style="4" customWidth="1"/>
    <col min="12" max="12" width="34.1328125" style="4" customWidth="1"/>
    <col min="13" max="16384" width="9.06640625" style="4"/>
  </cols>
  <sheetData>
    <row r="1" spans="1:12" ht="18" x14ac:dyDescent="0.55000000000000004">
      <c r="A1" s="2" t="s">
        <v>29</v>
      </c>
      <c r="B1" s="6" t="s">
        <v>13</v>
      </c>
      <c r="C1" s="6" t="s">
        <v>14</v>
      </c>
      <c r="D1" s="6" t="s">
        <v>1</v>
      </c>
      <c r="E1" s="6" t="s">
        <v>2</v>
      </c>
      <c r="F1" s="6" t="s">
        <v>15</v>
      </c>
      <c r="G1" s="6" t="s">
        <v>3</v>
      </c>
      <c r="H1" s="6" t="s">
        <v>16</v>
      </c>
      <c r="I1" s="6" t="s">
        <v>30</v>
      </c>
      <c r="J1" s="6" t="s">
        <v>10</v>
      </c>
      <c r="K1" s="6" t="s">
        <v>42</v>
      </c>
      <c r="L1" s="6"/>
    </row>
    <row r="2" spans="1:12" ht="15.75" x14ac:dyDescent="0.5">
      <c r="A2" s="29"/>
      <c r="B2" s="29"/>
      <c r="C2" s="29"/>
      <c r="D2" s="29"/>
      <c r="E2" s="29"/>
      <c r="F2" s="29"/>
      <c r="G2" s="29"/>
      <c r="H2" s="30"/>
      <c r="I2" s="29"/>
      <c r="J2" s="29"/>
      <c r="K2" s="29"/>
    </row>
    <row r="3" spans="1:12" ht="15.75" x14ac:dyDescent="0.5">
      <c r="A3" s="29"/>
      <c r="B3" s="29"/>
      <c r="C3" s="29"/>
      <c r="D3" s="29"/>
      <c r="E3" s="29"/>
      <c r="F3" s="29"/>
      <c r="G3" s="29"/>
      <c r="H3" s="30"/>
      <c r="I3" s="29"/>
      <c r="J3" s="29"/>
      <c r="K3" s="29"/>
    </row>
    <row r="4" spans="1:12" ht="15.75" x14ac:dyDescent="0.5">
      <c r="A4" s="29"/>
      <c r="B4" s="29"/>
      <c r="C4" s="29"/>
      <c r="D4" s="29"/>
      <c r="E4" s="29"/>
      <c r="F4" s="29"/>
      <c r="G4" s="29"/>
      <c r="H4" s="30"/>
      <c r="I4" s="29"/>
      <c r="J4" s="29"/>
      <c r="K4" s="29"/>
    </row>
    <row r="5" spans="1:12" ht="15.75" x14ac:dyDescent="0.5">
      <c r="A5" s="29"/>
      <c r="B5" s="29"/>
      <c r="C5" s="29"/>
      <c r="D5" s="29"/>
      <c r="E5" s="29"/>
      <c r="F5" s="29"/>
      <c r="G5" s="31"/>
      <c r="H5" s="30"/>
      <c r="I5" s="29"/>
      <c r="J5" s="29"/>
      <c r="K5" s="29"/>
    </row>
    <row r="6" spans="1:12" ht="15.75" x14ac:dyDescent="0.5">
      <c r="A6" s="29"/>
      <c r="B6" s="29"/>
      <c r="C6" s="29"/>
      <c r="D6" s="29"/>
      <c r="E6" s="29"/>
      <c r="F6" s="29"/>
      <c r="G6" s="29"/>
      <c r="H6" s="30"/>
      <c r="I6" s="29"/>
      <c r="J6" s="29"/>
      <c r="K6" s="29"/>
    </row>
    <row r="7" spans="1:12" ht="15.75" x14ac:dyDescent="0.5">
      <c r="A7" s="29"/>
      <c r="B7" s="29"/>
      <c r="C7" s="29"/>
      <c r="D7" s="29"/>
      <c r="E7" s="29"/>
      <c r="F7" s="29"/>
      <c r="G7" s="29"/>
      <c r="H7" s="30"/>
      <c r="I7" s="29"/>
      <c r="J7" s="29"/>
      <c r="K7" s="29"/>
    </row>
    <row r="8" spans="1:12" ht="15.75" x14ac:dyDescent="0.5">
      <c r="A8" s="29"/>
      <c r="B8" s="29"/>
      <c r="C8" s="29"/>
      <c r="D8" s="29"/>
      <c r="E8" s="29"/>
      <c r="F8" s="29"/>
      <c r="G8" s="29"/>
      <c r="H8" s="30"/>
      <c r="I8" s="29"/>
      <c r="J8" s="29"/>
      <c r="K8" s="29"/>
    </row>
    <row r="9" spans="1:12" ht="15.75" x14ac:dyDescent="0.5">
      <c r="A9" s="29"/>
      <c r="B9" s="29"/>
      <c r="C9" s="29"/>
      <c r="D9" s="29"/>
      <c r="E9" s="29"/>
      <c r="F9" s="29"/>
      <c r="G9" s="29"/>
      <c r="H9" s="30"/>
      <c r="I9" s="29"/>
      <c r="J9" s="29"/>
      <c r="K9" s="29"/>
    </row>
    <row r="10" spans="1:12" ht="15.75" x14ac:dyDescent="0.5">
      <c r="A10" s="29"/>
      <c r="B10" s="29"/>
      <c r="C10" s="29"/>
      <c r="D10" s="29"/>
      <c r="E10" s="29"/>
      <c r="F10" s="29"/>
      <c r="G10" s="29"/>
      <c r="H10" s="30"/>
      <c r="I10" s="29"/>
      <c r="J10" s="29"/>
      <c r="K10" s="29"/>
    </row>
    <row r="11" spans="1:12" ht="15.75" x14ac:dyDescent="0.5">
      <c r="A11" s="29"/>
      <c r="B11" s="29"/>
      <c r="C11" s="29"/>
      <c r="D11" s="29"/>
      <c r="E11" s="29"/>
      <c r="F11" s="29"/>
      <c r="G11" s="31"/>
      <c r="H11" s="30"/>
      <c r="I11" s="29"/>
      <c r="J11" s="29"/>
      <c r="K11" s="29"/>
    </row>
    <row r="12" spans="1:12" ht="15.75" x14ac:dyDescent="0.5">
      <c r="A12" s="29"/>
      <c r="B12" s="29"/>
      <c r="C12" s="29"/>
      <c r="D12" s="29"/>
      <c r="E12" s="29"/>
      <c r="F12" s="29"/>
      <c r="G12" s="29"/>
      <c r="H12" s="30"/>
      <c r="I12" s="29"/>
      <c r="J12" s="29"/>
      <c r="K12" s="29"/>
    </row>
    <row r="13" spans="1:12" ht="15.75" x14ac:dyDescent="0.5">
      <c r="A13" s="29"/>
      <c r="B13" s="29"/>
      <c r="C13" s="29"/>
      <c r="D13" s="29"/>
      <c r="E13" s="29"/>
      <c r="F13" s="29"/>
      <c r="G13" s="29"/>
      <c r="H13" s="30"/>
      <c r="I13" s="29"/>
      <c r="J13" s="29"/>
      <c r="K13" s="29"/>
    </row>
    <row r="14" spans="1:12" ht="15.75" x14ac:dyDescent="0.5">
      <c r="A14" s="29"/>
      <c r="B14" s="29"/>
      <c r="C14" s="29"/>
      <c r="D14" s="29"/>
      <c r="E14" s="29"/>
      <c r="F14" s="29"/>
      <c r="G14" s="29"/>
      <c r="H14" s="30"/>
      <c r="I14" s="29"/>
      <c r="J14" s="29"/>
      <c r="K14" s="29"/>
    </row>
    <row r="15" spans="1:12" ht="15.75" x14ac:dyDescent="0.5">
      <c r="A15" s="29"/>
      <c r="B15" s="29"/>
      <c r="C15" s="29"/>
      <c r="D15" s="29"/>
      <c r="E15" s="29"/>
      <c r="F15" s="29"/>
      <c r="G15" s="29"/>
      <c r="H15" s="30"/>
      <c r="I15" s="29"/>
      <c r="J15" s="29"/>
      <c r="K15" s="29"/>
    </row>
    <row r="16" spans="1:12" ht="15.75" x14ac:dyDescent="0.5">
      <c r="A16" s="29"/>
      <c r="B16" s="29"/>
      <c r="C16" s="29"/>
      <c r="D16" s="29"/>
      <c r="E16" s="29"/>
      <c r="F16" s="29"/>
      <c r="G16" s="29"/>
      <c r="H16" s="30"/>
      <c r="I16" s="29"/>
      <c r="J16" s="29"/>
      <c r="K16" s="29"/>
    </row>
    <row r="17" spans="1:11" ht="15.75" x14ac:dyDescent="0.5">
      <c r="A17" s="29"/>
      <c r="B17" s="29"/>
      <c r="C17" s="29"/>
      <c r="D17" s="29"/>
      <c r="E17" s="29"/>
      <c r="F17" s="29"/>
      <c r="G17" s="31"/>
      <c r="H17" s="30"/>
      <c r="I17" s="29"/>
      <c r="J17" s="29"/>
      <c r="K17" s="29"/>
    </row>
    <row r="18" spans="1:11" ht="15.75" x14ac:dyDescent="0.5">
      <c r="A18" s="29"/>
      <c r="B18" s="29"/>
      <c r="C18" s="29"/>
      <c r="D18" s="29"/>
      <c r="E18" s="29"/>
      <c r="F18" s="29"/>
      <c r="G18" s="29"/>
      <c r="H18" s="30"/>
      <c r="I18" s="29"/>
      <c r="J18" s="29"/>
      <c r="K18" s="29"/>
    </row>
    <row r="19" spans="1:11" ht="15.75" x14ac:dyDescent="0.5">
      <c r="A19" s="29"/>
      <c r="B19" s="29"/>
      <c r="C19" s="29"/>
      <c r="D19" s="29"/>
      <c r="E19" s="29"/>
      <c r="F19" s="29"/>
      <c r="G19" s="29"/>
      <c r="H19" s="30"/>
      <c r="I19" s="29"/>
      <c r="J19" s="29"/>
      <c r="K19" s="29"/>
    </row>
    <row r="20" spans="1:11" ht="15.75" x14ac:dyDescent="0.5">
      <c r="A20" s="29"/>
      <c r="B20" s="29"/>
      <c r="C20" s="29"/>
      <c r="D20" s="29"/>
      <c r="E20" s="29"/>
      <c r="F20" s="29"/>
      <c r="G20" s="29"/>
      <c r="H20" s="30"/>
      <c r="I20" s="29"/>
      <c r="J20" s="29"/>
      <c r="K20" s="29"/>
    </row>
    <row r="21" spans="1:11" ht="15.75" x14ac:dyDescent="0.5">
      <c r="A21" s="29"/>
      <c r="B21" s="29"/>
      <c r="C21" s="29"/>
      <c r="D21" s="29"/>
      <c r="E21" s="29"/>
      <c r="F21" s="29"/>
      <c r="G21" s="29"/>
      <c r="H21" s="30"/>
      <c r="I21" s="29"/>
      <c r="J21" s="29"/>
      <c r="K21" s="29"/>
    </row>
    <row r="22" spans="1:11" ht="15.75" x14ac:dyDescent="0.5">
      <c r="A22" s="29"/>
      <c r="B22" s="29"/>
      <c r="C22" s="29"/>
      <c r="D22" s="29"/>
      <c r="E22" s="29"/>
      <c r="F22" s="29"/>
      <c r="G22" s="29"/>
      <c r="H22" s="30"/>
      <c r="I22" s="29"/>
      <c r="J22" s="29"/>
      <c r="K22" s="29"/>
    </row>
    <row r="23" spans="1:11" ht="15.75" x14ac:dyDescent="0.5">
      <c r="A23" s="29"/>
      <c r="B23" s="29"/>
      <c r="C23" s="29"/>
      <c r="D23" s="29"/>
      <c r="E23" s="29"/>
      <c r="F23" s="29"/>
      <c r="G23" s="29"/>
      <c r="H23" s="30"/>
      <c r="I23" s="29"/>
      <c r="J23" s="29"/>
      <c r="K23" s="29"/>
    </row>
    <row r="24" spans="1:11" ht="15.75" x14ac:dyDescent="0.5">
      <c r="A24" s="29"/>
      <c r="B24" s="29"/>
      <c r="C24" s="29"/>
      <c r="D24" s="29"/>
      <c r="E24" s="29"/>
      <c r="F24" s="29"/>
      <c r="G24" s="29"/>
      <c r="H24" s="30"/>
      <c r="I24" s="29"/>
      <c r="J24" s="29"/>
      <c r="K24" s="29"/>
    </row>
    <row r="25" spans="1:11" ht="15.75" x14ac:dyDescent="0.5">
      <c r="A25" s="29"/>
      <c r="B25" s="29"/>
      <c r="C25" s="29"/>
      <c r="D25" s="29"/>
      <c r="E25" s="29"/>
      <c r="F25" s="29"/>
      <c r="G25" s="29"/>
      <c r="H25" s="30"/>
      <c r="I25" s="29"/>
      <c r="J25" s="29"/>
      <c r="K25" s="29"/>
    </row>
    <row r="26" spans="1:11" ht="15.75" x14ac:dyDescent="0.5">
      <c r="A26" s="29"/>
      <c r="B26" s="29"/>
      <c r="C26" s="29"/>
      <c r="D26" s="29"/>
      <c r="E26" s="29"/>
      <c r="F26" s="29"/>
      <c r="G26" s="29"/>
      <c r="H26" s="30"/>
      <c r="I26" s="29"/>
      <c r="J26" s="29"/>
      <c r="K26" s="29"/>
    </row>
    <row r="27" spans="1:11" ht="15.75" x14ac:dyDescent="0.5">
      <c r="A27" s="29"/>
      <c r="B27" s="29"/>
      <c r="C27" s="29"/>
      <c r="D27" s="29"/>
      <c r="E27" s="29"/>
      <c r="F27" s="29"/>
      <c r="G27" s="29"/>
      <c r="H27" s="30"/>
      <c r="I27" s="29"/>
      <c r="J27" s="29"/>
      <c r="K27" s="29"/>
    </row>
    <row r="28" spans="1:11" ht="15.75" x14ac:dyDescent="0.5">
      <c r="A28" s="29"/>
      <c r="B28" s="29"/>
      <c r="C28" s="29"/>
      <c r="D28" s="29"/>
      <c r="E28" s="29"/>
      <c r="F28" s="29"/>
      <c r="G28" s="29"/>
      <c r="H28" s="30"/>
      <c r="I28" s="29"/>
      <c r="J28" s="29"/>
      <c r="K28" s="29"/>
    </row>
    <row r="29" spans="1:11" ht="15.75" x14ac:dyDescent="0.5">
      <c r="A29" s="29"/>
      <c r="B29" s="29"/>
      <c r="C29" s="29"/>
      <c r="D29" s="29"/>
      <c r="E29" s="29"/>
      <c r="F29" s="29"/>
      <c r="G29" s="29"/>
      <c r="H29" s="30"/>
      <c r="I29" s="29"/>
      <c r="J29" s="29"/>
      <c r="K29" s="29"/>
    </row>
    <row r="30" spans="1:11" ht="15.75" x14ac:dyDescent="0.5">
      <c r="A30" s="29"/>
      <c r="B30" s="29"/>
      <c r="C30" s="29"/>
      <c r="D30" s="29"/>
      <c r="E30" s="29"/>
      <c r="F30" s="29"/>
      <c r="G30" s="29"/>
      <c r="H30" s="30"/>
      <c r="I30" s="29"/>
      <c r="J30" s="29"/>
      <c r="K30" s="29"/>
    </row>
    <row r="31" spans="1:11" ht="15.75" x14ac:dyDescent="0.5">
      <c r="A31" s="29"/>
      <c r="B31" s="29"/>
      <c r="C31" s="29"/>
      <c r="D31" s="29"/>
      <c r="E31" s="29"/>
      <c r="F31" s="29"/>
      <c r="G31" s="29"/>
      <c r="H31" s="30"/>
      <c r="I31" s="29"/>
      <c r="J31" s="29"/>
      <c r="K31" s="29"/>
    </row>
    <row r="32" spans="1:11" ht="18" x14ac:dyDescent="0.45">
      <c r="A32" s="1"/>
      <c r="B32" s="6"/>
      <c r="C32" s="6"/>
      <c r="D32" s="6"/>
      <c r="E32" s="6"/>
      <c r="F32" s="6"/>
      <c r="G32" s="6"/>
      <c r="H32" s="27"/>
      <c r="I32" s="6"/>
      <c r="J32" s="6"/>
    </row>
    <row r="33" spans="1:26" ht="18" x14ac:dyDescent="0.45">
      <c r="A33" s="1"/>
      <c r="B33" s="6"/>
      <c r="C33" s="6"/>
      <c r="D33" s="6"/>
      <c r="E33" s="6"/>
      <c r="F33" s="6"/>
      <c r="G33" s="6"/>
      <c r="H33" s="27"/>
      <c r="I33" s="6"/>
      <c r="J33" s="6"/>
    </row>
    <row r="34" spans="1:26" ht="18" x14ac:dyDescent="0.45">
      <c r="A34" s="1"/>
      <c r="B34" s="6"/>
      <c r="C34" s="6"/>
      <c r="D34" s="6"/>
      <c r="E34" s="6"/>
      <c r="F34" s="6"/>
      <c r="G34" s="6"/>
      <c r="H34" s="27"/>
      <c r="I34" s="6"/>
      <c r="J34" s="6"/>
    </row>
    <row r="35" spans="1:26" ht="18" x14ac:dyDescent="0.45">
      <c r="A35" s="1"/>
      <c r="B35" s="6"/>
      <c r="C35" s="6"/>
      <c r="D35" s="6"/>
      <c r="E35" s="6"/>
      <c r="F35" s="6"/>
      <c r="G35" s="6"/>
      <c r="H35" s="27"/>
      <c r="I35" s="6"/>
      <c r="J35" s="6"/>
      <c r="K35" s="9"/>
    </row>
    <row r="36" spans="1:26" ht="18" x14ac:dyDescent="0.55000000000000004">
      <c r="A36" s="7"/>
      <c r="B36" s="6"/>
      <c r="C36" s="6"/>
      <c r="D36" s="6"/>
      <c r="E36" s="6"/>
      <c r="F36" s="6"/>
      <c r="G36" s="6"/>
      <c r="H36" s="27"/>
      <c r="I36" s="6"/>
      <c r="J36" s="6"/>
      <c r="K36" s="8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8" x14ac:dyDescent="0.55000000000000004">
      <c r="A37" s="7"/>
      <c r="G37" s="6"/>
      <c r="H37" s="27"/>
    </row>
    <row r="38" spans="1:26" x14ac:dyDescent="0.45">
      <c r="H38" s="28"/>
    </row>
    <row r="39" spans="1:26" x14ac:dyDescent="0.45">
      <c r="H39" s="28"/>
    </row>
    <row r="40" spans="1:26" x14ac:dyDescent="0.45">
      <c r="H40" s="28"/>
    </row>
    <row r="41" spans="1:26" x14ac:dyDescent="0.45">
      <c r="H41" s="28"/>
    </row>
    <row r="42" spans="1:26" x14ac:dyDescent="0.45">
      <c r="H42" s="28"/>
    </row>
    <row r="43" spans="1:26" x14ac:dyDescent="0.45">
      <c r="H43" s="28"/>
    </row>
    <row r="44" spans="1:26" x14ac:dyDescent="0.45">
      <c r="H44" s="28"/>
    </row>
    <row r="45" spans="1:26" x14ac:dyDescent="0.45">
      <c r="H45" s="28"/>
    </row>
    <row r="46" spans="1:26" x14ac:dyDescent="0.45">
      <c r="H46" s="28"/>
    </row>
    <row r="47" spans="1:26" x14ac:dyDescent="0.45">
      <c r="H47" s="28"/>
    </row>
    <row r="48" spans="1:26" x14ac:dyDescent="0.45">
      <c r="H48" s="28"/>
    </row>
    <row r="49" spans="8:8" x14ac:dyDescent="0.45">
      <c r="H49" s="28"/>
    </row>
    <row r="50" spans="8:8" x14ac:dyDescent="0.45">
      <c r="H50" s="28"/>
    </row>
    <row r="51" spans="8:8" x14ac:dyDescent="0.45">
      <c r="H51" s="2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"/>
  <sheetViews>
    <sheetView workbookViewId="0">
      <selection activeCell="G7" sqref="G7:H10"/>
    </sheetView>
  </sheetViews>
  <sheetFormatPr defaultRowHeight="14.25" x14ac:dyDescent="0.45"/>
  <cols>
    <col min="1" max="1" width="16.59765625" customWidth="1"/>
    <col min="3" max="3" width="13.33203125" customWidth="1"/>
    <col min="6" max="6" width="14.796875" customWidth="1"/>
  </cols>
  <sheetData>
    <row r="1" spans="1:8" ht="14.65" thickBot="1" x14ac:dyDescent="0.5"/>
    <row r="2" spans="1:8" x14ac:dyDescent="0.45">
      <c r="A2" s="25" t="s">
        <v>21</v>
      </c>
      <c r="B2" s="23">
        <v>19</v>
      </c>
    </row>
    <row r="3" spans="1:8" ht="14.65" thickBot="1" x14ac:dyDescent="0.5">
      <c r="A3" s="26" t="s">
        <v>20</v>
      </c>
      <c r="B3" s="24">
        <f>B2+1</f>
        <v>20</v>
      </c>
    </row>
    <row r="5" spans="1:8" ht="14.65" thickBot="1" x14ac:dyDescent="0.5"/>
    <row r="6" spans="1:8" ht="14.65" thickBot="1" x14ac:dyDescent="0.5">
      <c r="C6" s="16" t="s">
        <v>10</v>
      </c>
      <c r="D6" s="36" t="s">
        <v>27</v>
      </c>
      <c r="E6" s="37">
        <v>0.1</v>
      </c>
      <c r="F6" s="15"/>
      <c r="G6" s="14" t="s">
        <v>37</v>
      </c>
      <c r="H6" s="15" t="s">
        <v>25</v>
      </c>
    </row>
    <row r="7" spans="1:8" x14ac:dyDescent="0.45">
      <c r="C7" s="32"/>
      <c r="D7" s="32" t="s">
        <v>28</v>
      </c>
      <c r="E7" s="33">
        <v>0.05</v>
      </c>
      <c r="F7" s="20" t="s">
        <v>17</v>
      </c>
      <c r="G7" s="17">
        <v>18</v>
      </c>
      <c r="H7" s="18">
        <v>0.09</v>
      </c>
    </row>
    <row r="8" spans="1:8" x14ac:dyDescent="0.45">
      <c r="C8" s="32"/>
      <c r="D8" s="32" t="s">
        <v>18</v>
      </c>
      <c r="E8" s="33">
        <v>0.5</v>
      </c>
      <c r="F8" s="20"/>
      <c r="G8" s="19">
        <v>35</v>
      </c>
      <c r="H8" s="20">
        <v>0.1</v>
      </c>
    </row>
    <row r="9" spans="1:8" x14ac:dyDescent="0.45">
      <c r="C9" s="32"/>
      <c r="D9" s="32"/>
      <c r="E9" s="33"/>
      <c r="F9" s="20"/>
      <c r="G9" s="19">
        <v>60</v>
      </c>
      <c r="H9" s="20">
        <v>0.5</v>
      </c>
    </row>
    <row r="10" spans="1:8" ht="14.65" thickBot="1" x14ac:dyDescent="0.5">
      <c r="C10" s="34"/>
      <c r="D10" s="34"/>
      <c r="E10" s="35"/>
      <c r="F10" s="22"/>
      <c r="G10" s="21">
        <v>100</v>
      </c>
      <c r="H10" s="22">
        <v>0.8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Main Menu</vt:lpstr>
      <vt:lpstr>Input</vt:lpstr>
      <vt:lpstr>DataStore</vt:lpstr>
      <vt:lpstr>Lookup</vt:lpstr>
      <vt:lpstr>A_err</vt:lpstr>
      <vt:lpstr>Address</vt:lpstr>
      <vt:lpstr>Age</vt:lpstr>
      <vt:lpstr>age_Table</vt:lpstr>
      <vt:lpstr>ageErrorMsg</vt:lpstr>
      <vt:lpstr>Base_Premium</vt:lpstr>
      <vt:lpstr>dateOfBirth</vt:lpstr>
      <vt:lpstr>dobErrorMsg</vt:lpstr>
      <vt:lpstr>E_err</vt:lpstr>
      <vt:lpstr>Email</vt:lpstr>
      <vt:lpstr>F</vt:lpstr>
      <vt:lpstr>F_err</vt:lpstr>
      <vt:lpstr>Factor</vt:lpstr>
      <vt:lpstr>First_Name</vt:lpstr>
      <vt:lpstr>FN_err</vt:lpstr>
      <vt:lpstr>genderLU</vt:lpstr>
      <vt:lpstr>genderTable</vt:lpstr>
      <vt:lpstr>Last_Name</vt:lpstr>
      <vt:lpstr>LN_err</vt:lpstr>
      <vt:lpstr>max_age</vt:lpstr>
      <vt:lpstr>min_age</vt:lpstr>
      <vt:lpstr>P_err</vt:lpstr>
      <vt:lpstr>Postcode</vt:lpstr>
      <vt:lpstr>T_err</vt:lpstr>
      <vt:lpstr>Town_City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 Wylie</dc:creator>
  <cp:lastModifiedBy>Zack Wylie</cp:lastModifiedBy>
  <dcterms:created xsi:type="dcterms:W3CDTF">2018-05-08T00:04:26Z</dcterms:created>
  <dcterms:modified xsi:type="dcterms:W3CDTF">2018-05-23T23:14:05Z</dcterms:modified>
</cp:coreProperties>
</file>